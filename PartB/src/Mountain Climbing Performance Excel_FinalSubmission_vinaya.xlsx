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<sst xmlns="http://schemas.openxmlformats.org/spreadsheetml/2006/main" count="58" uniqueCount="24">
  <si>
    <t xml:space="preserve">                        Mountain Climbing Performance</t>
  </si>
  <si>
    <r>
      <rPr>
        <rFont val="Arial"/>
        <color theme="1"/>
        <sz val="16.0"/>
      </rPr>
      <t xml:space="preserve">  </t>
    </r>
    <r>
      <rPr>
        <rFont val="Arial"/>
        <b/>
        <color theme="1"/>
        <sz val="16.0"/>
      </rPr>
      <t>Testing 1 : Population Size</t>
    </r>
    <r>
      <rPr>
        <rFont val="Arial"/>
        <color theme="1"/>
        <sz val="16.0"/>
      </rPr>
      <t xml:space="preserve"> </t>
    </r>
  </si>
  <si>
    <t>Run ID</t>
  </si>
  <si>
    <t>Population Size</t>
  </si>
  <si>
    <t>Initial Genome Size</t>
  </si>
  <si>
    <t>Mutation Rate</t>
  </si>
  <si>
    <t>Number of Generation</t>
  </si>
  <si>
    <t>Simulation Rate</t>
  </si>
  <si>
    <t>Highest Best Fitness (5 runs)</t>
  </si>
  <si>
    <t>Average Best Fitness (5 runs)</t>
  </si>
  <si>
    <t>Standard Deviation (5 runs)</t>
  </si>
  <si>
    <t xml:space="preserve">  Testing 2 :  Genome Size</t>
  </si>
  <si>
    <t xml:space="preserve">  Testing 3 :  Time Simulation</t>
  </si>
  <si>
    <t xml:space="preserve">  Testing 4 :  Advanced Motor Controls</t>
  </si>
  <si>
    <t>Motor Controls</t>
  </si>
  <si>
    <t>Baseline</t>
  </si>
  <si>
    <t>Motor_only</t>
  </si>
  <si>
    <t>Hybrid</t>
  </si>
  <si>
    <t>Motor_Hybrid</t>
  </si>
  <si>
    <t xml:space="preserve">  Testing 5 :  Different Environment</t>
  </si>
  <si>
    <t>Landscape</t>
  </si>
  <si>
    <t>Guassian Pyramid</t>
  </si>
  <si>
    <t>Hill</t>
  </si>
  <si>
    <t>Valley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</si>
</sst>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</font>
    <font>
      <sz val="14.0"/>
      <color rgb="FF000000"/>
      <name val="Arial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3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readingOrder="0" shrinkToFit="0" vertical="bottom" wrapText="1"/>
    </xf>
    <xf borderId="4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readingOrder="0" shrinkToFit="0" vertical="bottom" wrapText="1"/>
    </xf>
    <xf borderId="4" fillId="2" fontId="3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6" fillId="2" fontId="3" numFmtId="0" xfId="0" applyAlignment="1" applyBorder="1" applyFont="1">
      <alignment horizontal="center" readingOrder="0" shrinkToFit="0" wrapText="1"/>
    </xf>
    <xf borderId="7" fillId="2" fontId="3" numFmtId="0" xfId="0" applyAlignment="1" applyBorder="1" applyFont="1">
      <alignment horizontal="center" readingOrder="0" shrinkToFit="0" wrapText="1"/>
    </xf>
    <xf borderId="3" fillId="2" fontId="4" numFmtId="0" xfId="0" applyAlignment="1" applyBorder="1" applyFont="1">
      <alignment horizontal="center" readingOrder="0" shrinkToFit="0" vertical="bottom" wrapText="1"/>
    </xf>
    <xf borderId="3" fillId="2" fontId="3" numFmtId="0" xfId="0" applyAlignment="1" applyBorder="1" applyFont="1">
      <alignment horizontal="center" readingOrder="0" shrinkToFit="0" vertical="bottom" wrapText="1"/>
    </xf>
    <xf borderId="3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5">
    <tableStyle count="3" pivot="0" name="Sheet2-style">
      <tableStyleElement dxfId="1" type="headerRow"/>
      <tableStyleElement dxfId="2" type="firstRowStripe"/>
      <tableStyleElement dxfId="1" type="secondRowStripe"/>
    </tableStyle>
    <tableStyle count="3" pivot="0" name="Sheet2-style 2">
      <tableStyleElement dxfId="1" type="headerRow"/>
      <tableStyleElement dxfId="2" type="firstRowStripe"/>
      <tableStyleElement dxfId="1" type="secondRowStripe"/>
    </tableStyle>
    <tableStyle count="3" pivot="0" name="Sheet2-style 3">
      <tableStyleElement dxfId="1" type="headerRow"/>
      <tableStyleElement dxfId="2" type="firstRowStripe"/>
      <tableStyleElement dxfId="1" type="secondRowStripe"/>
    </tableStyle>
    <tableStyle count="3" pivot="0" name="Sheet2-style 4">
      <tableStyleElement dxfId="1" type="headerRow"/>
      <tableStyleElement dxfId="2" type="firstRowStripe"/>
      <tableStyleElement dxfId="1" type="secondRowStripe"/>
    </tableStyle>
    <tableStyle count="3" pivot="0" name="Sheet2-style 5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Highest Best Fitness VS Population Size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Sheet2!$B$8:$B$11</c:f>
            </c:strRef>
          </c:cat>
          <c:val>
            <c:numRef>
              <c:f>Sheet2!$G$8:$G$11</c:f>
              <c:numCache/>
            </c:numRef>
          </c:val>
          <c:smooth val="0"/>
        </c:ser>
        <c:axId val="438015205"/>
        <c:axId val="1459967002"/>
      </c:lineChart>
      <c:catAx>
        <c:axId val="438015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459967002"/>
      </c:catAx>
      <c:valAx>
        <c:axId val="1459967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015205"/>
      </c:valAx>
    </c:plotArea>
    <c:legend>
      <c:legendPos val="t"/>
      <c:legendEntry>
        <c:idx val="0"/>
        <c:txPr>
          <a:bodyPr/>
          <a:lstStyle/>
          <a:p>
            <a:pPr lvl="0">
              <a:defRPr b="0"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Average Best Fitness VS Population Size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Sheet2!$B$8:$B$11</c:f>
            </c:strRef>
          </c:cat>
          <c:val>
            <c:numRef>
              <c:f>Sheet2!$H$8:$H$11</c:f>
              <c:numCache/>
            </c:numRef>
          </c:val>
          <c:smooth val="0"/>
        </c:ser>
        <c:axId val="841039243"/>
        <c:axId val="574434685"/>
      </c:lineChart>
      <c:catAx>
        <c:axId val="841039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434685"/>
      </c:catAx>
      <c:valAx>
        <c:axId val="574434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03924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Highest Best Fitness VS Genome Size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Sheet2!$C$38:$C$40</c:f>
            </c:strRef>
          </c:cat>
          <c:val>
            <c:numRef>
              <c:f>Sheet2!$G$38:$G$40</c:f>
              <c:numCache/>
            </c:numRef>
          </c:val>
          <c:smooth val="0"/>
        </c:ser>
        <c:axId val="341071914"/>
        <c:axId val="1500939017"/>
      </c:lineChart>
      <c:catAx>
        <c:axId val="341071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Genome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939017"/>
      </c:catAx>
      <c:valAx>
        <c:axId val="1500939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07191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Average Best Fitness VS Genome Size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Sheet2!$C$38:$C$40</c:f>
            </c:strRef>
          </c:cat>
          <c:val>
            <c:numRef>
              <c:f>Sheet2!$H$38:$H$40</c:f>
              <c:numCache/>
            </c:numRef>
          </c:val>
          <c:smooth val="0"/>
        </c:ser>
        <c:axId val="873945195"/>
        <c:axId val="1440081636"/>
      </c:lineChart>
      <c:catAx>
        <c:axId val="873945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Genome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081636"/>
      </c:catAx>
      <c:valAx>
        <c:axId val="1440081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94519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Highest Best Fitness VS Simulation Rate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Sheet2!$F$66:$F$68</c:f>
            </c:strRef>
          </c:cat>
          <c:val>
            <c:numRef>
              <c:f>Sheet2!$G$66:$G$68</c:f>
              <c:numCache/>
            </c:numRef>
          </c:val>
          <c:smooth val="0"/>
        </c:ser>
        <c:axId val="1797833646"/>
        <c:axId val="1890062803"/>
      </c:lineChart>
      <c:catAx>
        <c:axId val="1797833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Simulation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062803"/>
      </c:catAx>
      <c:valAx>
        <c:axId val="1890062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83364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Average Best Fitness VS Simuation Rate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Sheet2!$F$66:$F$68</c:f>
            </c:strRef>
          </c:cat>
          <c:val>
            <c:numRef>
              <c:f>Sheet2!$H$66:$H$68</c:f>
              <c:numCache/>
            </c:numRef>
          </c:val>
          <c:smooth val="0"/>
        </c:ser>
        <c:axId val="1181542079"/>
        <c:axId val="681497337"/>
      </c:lineChart>
      <c:catAx>
        <c:axId val="1181542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Simulation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497337"/>
      </c:catAx>
      <c:valAx>
        <c:axId val="681497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54207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Highest Best Fitness Among Motor Controls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98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B5394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64D7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38761D"/>
              </a:solidFill>
              <a:ln cmpd="sng">
                <a:noFill/>
              </a:ln>
            </c:spPr>
          </c:dPt>
          <c:cat>
            <c:strRef>
              <c:f>Sheet2!$A$94:$A$97</c:f>
            </c:strRef>
          </c:cat>
          <c:val>
            <c:numRef>
              <c:f>Sheet2!$G$94:$G$97</c:f>
              <c:numCache/>
            </c:numRef>
          </c:val>
        </c:ser>
        <c:axId val="303382114"/>
        <c:axId val="609906927"/>
      </c:barChart>
      <c:catAx>
        <c:axId val="303382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Motor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906927"/>
      </c:catAx>
      <c:valAx>
        <c:axId val="609906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38211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AverageBest Fitness Among Motor Controls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98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B5394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64D7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38761D"/>
              </a:solidFill>
              <a:ln cmpd="sng">
                <a:noFill/>
              </a:ln>
            </c:spPr>
          </c:dPt>
          <c:cat>
            <c:strRef>
              <c:f>Sheet2!$A$94:$A$97</c:f>
            </c:strRef>
          </c:cat>
          <c:val>
            <c:numRef>
              <c:f>Sheet2!$H$94:$H$97</c:f>
              <c:numCache/>
            </c:numRef>
          </c:val>
        </c:ser>
        <c:axId val="1867599319"/>
        <c:axId val="471094986"/>
      </c:barChart>
      <c:catAx>
        <c:axId val="1867599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Motor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094986"/>
      </c:catAx>
      <c:valAx>
        <c:axId val="471094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59931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Average best Fitness Among Environment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CC4125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6AA84F"/>
              </a:solidFill>
              <a:ln cmpd="sng">
                <a:noFill/>
              </a:ln>
            </c:spPr>
          </c:dPt>
          <c:cat>
            <c:strRef>
              <c:f>Sheet2!$A$123:$A$125</c:f>
            </c:strRef>
          </c:cat>
          <c:val>
            <c:numRef>
              <c:f>Sheet2!$H$123:$H$125</c:f>
              <c:numCache/>
            </c:numRef>
          </c:val>
        </c:ser>
        <c:axId val="267877734"/>
        <c:axId val="707887096"/>
      </c:barChart>
      <c:catAx>
        <c:axId val="267877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Environment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887096"/>
      </c:catAx>
      <c:valAx>
        <c:axId val="707887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87773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Highest Best Fitness Among Environment 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CC4125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6AA84F"/>
              </a:solidFill>
              <a:ln cmpd="sng">
                <a:noFill/>
              </a:ln>
            </c:spPr>
          </c:dPt>
          <c:cat>
            <c:strRef>
              <c:f>Sheet2!$A$123:$A$125</c:f>
            </c:strRef>
          </c:cat>
          <c:val>
            <c:numRef>
              <c:f>Sheet2!$G$123:$G$125</c:f>
              <c:numCache/>
            </c:numRef>
          </c:val>
        </c:ser>
        <c:axId val="237222835"/>
        <c:axId val="362465484"/>
      </c:barChart>
      <c:catAx>
        <c:axId val="237222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Environment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465484"/>
      </c:catAx>
      <c:valAx>
        <c:axId val="362465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Best 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222835"/>
      </c:valAx>
    </c:plotArea>
    <c:legend>
      <c:legendPos val="t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838200</xdr:colOff>
      <xdr:row>12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790575</xdr:colOff>
      <xdr:row>42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838200</xdr:colOff>
      <xdr:row>42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838200</xdr:colOff>
      <xdr:row>69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838200</xdr:colOff>
      <xdr:row>69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790575</xdr:colOff>
      <xdr:row>99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838200</xdr:colOff>
      <xdr:row>98</xdr:row>
      <xdr:rowOff>133350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838200</xdr:colOff>
      <xdr:row>127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838200</xdr:colOff>
      <xdr:row>127</xdr:row>
      <xdr:rowOff>28575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I11" displayName="Table_1" name="Table_1" id="1">
  <tableColumns count="9">
    <tableColumn name="Run ID" id="1"/>
    <tableColumn name="Population Size" id="2"/>
    <tableColumn name="Initial Genome Size" id="3"/>
    <tableColumn name="Mutation Rate" id="4"/>
    <tableColumn name="Number of Generation" id="5"/>
    <tableColumn name="Simulation Rate" id="6"/>
    <tableColumn name="Highest Best Fitness (5 runs)" id="7"/>
    <tableColumn name="Average Best Fitness (5 runs)" id="8"/>
    <tableColumn name="Standard Deviation (5 runs)" id="9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37:I40" displayName="Table_2" name="Table_2" id="2">
  <tableColumns count="9">
    <tableColumn name="Run ID" id="1"/>
    <tableColumn name="Population Size" id="2"/>
    <tableColumn name="Initial Genome Size" id="3"/>
    <tableColumn name="Mutation Rate" id="4"/>
    <tableColumn name="Number of Generation" id="5"/>
    <tableColumn name="Simulation Rate" id="6"/>
    <tableColumn name="Highest Best Fitness (5 runs)" id="7"/>
    <tableColumn name="Average Best Fitness (5 runs)" id="8"/>
    <tableColumn name="Standard Deviation (5 runs)" id="9"/>
  </tableColumns>
  <tableStyleInfo name="Sheet2-style 2" showColumnStripes="0" showFirstColumn="1" showLastColumn="1" showRowStripes="1"/>
</table>
</file>

<file path=xl/tables/table3.xml><?xml version="1.0" encoding="utf-8"?>
<table xmlns="http://schemas.openxmlformats.org/spreadsheetml/2006/main" ref="A65:I68" displayName="Table_3" name="Table_3" id="3">
  <tableColumns count="9">
    <tableColumn name="Run ID" id="1"/>
    <tableColumn name="Population Size" id="2"/>
    <tableColumn name="Initial Genome Size" id="3"/>
    <tableColumn name="Mutation Rate" id="4"/>
    <tableColumn name="Number of Generation" id="5"/>
    <tableColumn name="Simulation Rate" id="6"/>
    <tableColumn name="Highest Best Fitness (5 runs)" id="7"/>
    <tableColumn name="Average Best Fitness (5 runs)" id="8"/>
    <tableColumn name="Standard Deviation (5 runs)" id="9"/>
  </tableColumns>
  <tableStyleInfo name="Sheet2-style 3" showColumnStripes="0" showFirstColumn="1" showLastColumn="1" showRowStripes="1"/>
</table>
</file>

<file path=xl/tables/table4.xml><?xml version="1.0" encoding="utf-8"?>
<table xmlns="http://schemas.openxmlformats.org/spreadsheetml/2006/main" ref="A93:I97" displayName="Table_4" name="Table_4" id="4">
  <tableColumns count="9">
    <tableColumn name="Motor Controls" id="1"/>
    <tableColumn name="Population Size" id="2"/>
    <tableColumn name="Initial Genome Size" id="3"/>
    <tableColumn name="Mutation Rate" id="4"/>
    <tableColumn name="Number of Generation" id="5"/>
    <tableColumn name="Simulation Rate" id="6"/>
    <tableColumn name="Highest Best Fitness (5 runs)" id="7"/>
    <tableColumn name="Average Best Fitness (5 runs)" id="8"/>
    <tableColumn name="Standard Deviation (5 runs)" id="9"/>
  </tableColumns>
  <tableStyleInfo name="Sheet2-style 4" showColumnStripes="0" showFirstColumn="1" showLastColumn="1" showRowStripes="1"/>
</table>
</file>

<file path=xl/tables/table5.xml><?xml version="1.0" encoding="utf-8"?>
<table xmlns="http://schemas.openxmlformats.org/spreadsheetml/2006/main" ref="A122:I125" displayName="Table_5" name="Table_5" id="5">
  <tableColumns count="9">
    <tableColumn name="Landscape" id="1"/>
    <tableColumn name="Population Size" id="2"/>
    <tableColumn name="Initial Genome Size" id="3"/>
    <tableColumn name="Mutation Rate" id="4"/>
    <tableColumn name="Number of Generation" id="5"/>
    <tableColumn name="Simulation Rate" id="6"/>
    <tableColumn name="Highest Best Fitness (5 runs)" id="7"/>
    <tableColumn name="Average Best Fitness (5 runs)" id="8"/>
    <tableColumn name="Standard Deviation (5 runs)" id="9"/>
  </tableColumns>
  <tableStyleInfo name="Sheet2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20.88"/>
    <col customWidth="1" min="3" max="3" width="23.0"/>
    <col customWidth="1" min="4" max="4" width="20.5"/>
    <col customWidth="1" min="5" max="5" width="27.0"/>
    <col customWidth="1" min="6" max="6" width="22.5"/>
    <col customWidth="1" min="7" max="7" width="23.88"/>
    <col customWidth="1" min="8" max="8" width="23.75"/>
    <col customWidth="1" min="9" max="9" width="22.63"/>
    <col customWidth="1" min="10" max="25" width="28.5"/>
  </cols>
  <sheetData>
    <row r="1">
      <c r="C1" s="1"/>
      <c r="D1" s="1" t="s">
        <v>0</v>
      </c>
    </row>
    <row r="2">
      <c r="C2" s="1"/>
    </row>
    <row r="4">
      <c r="A4" s="2" t="s">
        <v>1</v>
      </c>
      <c r="D4" s="2"/>
    </row>
    <row r="5">
      <c r="D5" s="2"/>
    </row>
    <row r="7">
      <c r="A7" s="3" t="s">
        <v>2</v>
      </c>
      <c r="B7" s="3" t="s">
        <v>3</v>
      </c>
      <c r="C7" s="4" t="s">
        <v>4</v>
      </c>
      <c r="D7" s="3" t="s">
        <v>5</v>
      </c>
      <c r="E7" s="5" t="s">
        <v>6</v>
      </c>
      <c r="F7" s="3" t="s">
        <v>7</v>
      </c>
      <c r="G7" s="6" t="s">
        <v>8</v>
      </c>
      <c r="H7" s="7" t="s">
        <v>9</v>
      </c>
      <c r="I7" s="6" t="s">
        <v>10</v>
      </c>
    </row>
    <row r="8">
      <c r="A8" s="8">
        <v>1.0</v>
      </c>
      <c r="B8" s="9">
        <v>10.0</v>
      </c>
      <c r="C8" s="10">
        <v>3.0</v>
      </c>
      <c r="D8" s="9">
        <v>0.1</v>
      </c>
      <c r="E8" s="10">
        <v>100.0</v>
      </c>
      <c r="F8" s="9">
        <v>2400.0</v>
      </c>
      <c r="G8" s="11">
        <v>213.683</v>
      </c>
      <c r="H8" s="12">
        <f>AVERAGE(162.087,176.988,141.532,160.979,213.683)</f>
        <v>171.0538</v>
      </c>
      <c r="I8" s="12">
        <f>_xlfn.STDEV.S(162.087,176.988,141.532,160.979,213.683)</f>
        <v>26.95322427</v>
      </c>
    </row>
    <row r="9">
      <c r="A9" s="13">
        <v>2.0</v>
      </c>
      <c r="B9" s="14">
        <v>20.0</v>
      </c>
      <c r="C9" s="15">
        <v>3.0</v>
      </c>
      <c r="D9" s="14">
        <v>0.1</v>
      </c>
      <c r="E9" s="15">
        <v>100.0</v>
      </c>
      <c r="F9" s="14">
        <v>2400.0</v>
      </c>
      <c r="G9" s="16">
        <v>319.861</v>
      </c>
      <c r="H9" s="17">
        <f>AVERAGE(202.489,227.574,319.861,262.728,165.811)</f>
        <v>235.6926</v>
      </c>
      <c r="I9" s="18">
        <f> _xlfn.STDEV.S(202.489,227.574,319.861,262.728,165.811)</f>
        <v>58.87924326</v>
      </c>
    </row>
    <row r="10">
      <c r="A10" s="13">
        <v>3.0</v>
      </c>
      <c r="B10" s="14">
        <v>30.0</v>
      </c>
      <c r="C10" s="15">
        <v>3.0</v>
      </c>
      <c r="D10" s="14">
        <v>0.1</v>
      </c>
      <c r="E10" s="15">
        <v>100.0</v>
      </c>
      <c r="F10" s="14">
        <v>2400.0</v>
      </c>
      <c r="G10" s="16">
        <v>942.061</v>
      </c>
      <c r="H10" s="17">
        <f>AVERAGE(227.98,246.357,223.503,262.58,942.061)</f>
        <v>380.4962</v>
      </c>
      <c r="I10" s="17">
        <f>_xlfn.STDEV.S(227.98,246.357,223.503,262.58,942.061)</f>
        <v>314.3090183</v>
      </c>
    </row>
    <row r="11">
      <c r="A11" s="19">
        <v>4.0</v>
      </c>
      <c r="B11" s="20">
        <v>40.0</v>
      </c>
      <c r="C11" s="21">
        <v>3.0</v>
      </c>
      <c r="D11" s="20">
        <v>0.1</v>
      </c>
      <c r="E11" s="21">
        <v>100.0</v>
      </c>
      <c r="F11" s="20">
        <v>2400.0</v>
      </c>
      <c r="G11" s="22">
        <v>1347.626</v>
      </c>
      <c r="H11" s="18">
        <f>AVERAGE(1347.626,550.807,794.361,323.943,214.352)</f>
        <v>646.2178</v>
      </c>
      <c r="I11" s="18">
        <f> _xlfn.STDEV.S(1347.626,550.807,794.361,323.943,214.352)</f>
        <v>450.9412954</v>
      </c>
    </row>
    <row r="25">
      <c r="I25" s="23"/>
    </row>
    <row r="34">
      <c r="A34" s="24" t="s">
        <v>11</v>
      </c>
      <c r="D34" s="2"/>
    </row>
    <row r="35">
      <c r="D35" s="2"/>
    </row>
    <row r="37">
      <c r="A37" s="3" t="s">
        <v>2</v>
      </c>
      <c r="B37" s="3" t="s">
        <v>3</v>
      </c>
      <c r="C37" s="4" t="s">
        <v>4</v>
      </c>
      <c r="D37" s="3" t="s">
        <v>5</v>
      </c>
      <c r="E37" s="5" t="s">
        <v>6</v>
      </c>
      <c r="F37" s="3" t="s">
        <v>7</v>
      </c>
      <c r="G37" s="6" t="s">
        <v>8</v>
      </c>
      <c r="H37" s="7" t="s">
        <v>9</v>
      </c>
      <c r="I37" s="6" t="s">
        <v>10</v>
      </c>
    </row>
    <row r="38">
      <c r="A38" s="8">
        <v>1.0</v>
      </c>
      <c r="B38" s="9">
        <v>10.0</v>
      </c>
      <c r="C38" s="10">
        <v>3.0</v>
      </c>
      <c r="D38" s="9">
        <v>0.1</v>
      </c>
      <c r="E38" s="10">
        <v>100.0</v>
      </c>
      <c r="F38" s="9">
        <v>2400.0</v>
      </c>
      <c r="G38" s="11">
        <v>213.683</v>
      </c>
      <c r="H38" s="25">
        <f>AVERAGE(162.087,176.988,141.532,160.979,213.683)</f>
        <v>171.0538</v>
      </c>
      <c r="I38" s="12">
        <f>_xlfn.STDEV.S(162.087,176.988,141.532,160.979,213.683)</f>
        <v>26.95322427</v>
      </c>
    </row>
    <row r="39">
      <c r="A39" s="13">
        <v>2.0</v>
      </c>
      <c r="B39" s="15">
        <v>10.0</v>
      </c>
      <c r="C39" s="15">
        <v>6.0</v>
      </c>
      <c r="D39" s="14">
        <v>0.1</v>
      </c>
      <c r="E39" s="15">
        <v>100.0</v>
      </c>
      <c r="F39" s="14">
        <v>2400.0</v>
      </c>
      <c r="G39" s="16">
        <v>322.475</v>
      </c>
      <c r="H39" s="26">
        <f>AVERAGE(210.365,302.897,186.408,322.475,199.091)</f>
        <v>244.2472</v>
      </c>
      <c r="I39" s="17">
        <f> _xlfn.STDEV.S(210.365,302.897,186.408,322.475,199.091)</f>
        <v>63.42682135</v>
      </c>
    </row>
    <row r="40">
      <c r="A40" s="13">
        <v>3.0</v>
      </c>
      <c r="B40" s="15">
        <v>10.0</v>
      </c>
      <c r="C40" s="15">
        <v>9.0</v>
      </c>
      <c r="D40" s="14">
        <v>0.1</v>
      </c>
      <c r="E40" s="15">
        <v>100.0</v>
      </c>
      <c r="F40" s="14">
        <v>2400.0</v>
      </c>
      <c r="G40" s="16">
        <v>1407.833</v>
      </c>
      <c r="H40" s="26">
        <f>AVERAGE(225.124,1407.833,206.86,313.609,1201.782)</f>
        <v>671.0416</v>
      </c>
      <c r="I40" s="17">
        <f> _xlfn.STDEV.S(225.124,1407.833,206.86,313.609,1201.782)</f>
        <v>584.5109209</v>
      </c>
    </row>
    <row r="62">
      <c r="A62" s="24" t="s">
        <v>12</v>
      </c>
      <c r="D62" s="2"/>
    </row>
    <row r="63">
      <c r="D63" s="2"/>
    </row>
    <row r="65">
      <c r="A65" s="3" t="s">
        <v>2</v>
      </c>
      <c r="B65" s="3" t="s">
        <v>3</v>
      </c>
      <c r="C65" s="4" t="s">
        <v>4</v>
      </c>
      <c r="D65" s="3" t="s">
        <v>5</v>
      </c>
      <c r="E65" s="5" t="s">
        <v>6</v>
      </c>
      <c r="F65" s="3" t="s">
        <v>7</v>
      </c>
      <c r="G65" s="6" t="s">
        <v>8</v>
      </c>
      <c r="H65" s="7" t="s">
        <v>9</v>
      </c>
      <c r="I65" s="6" t="s">
        <v>10</v>
      </c>
    </row>
    <row r="66">
      <c r="A66" s="8">
        <v>1.0</v>
      </c>
      <c r="B66" s="9">
        <v>10.0</v>
      </c>
      <c r="C66" s="10">
        <v>3.0</v>
      </c>
      <c r="D66" s="9">
        <v>0.1</v>
      </c>
      <c r="E66" s="10">
        <v>100.0</v>
      </c>
      <c r="F66" s="9">
        <v>2400.0</v>
      </c>
      <c r="G66" s="11">
        <v>213.683</v>
      </c>
      <c r="H66" s="25">
        <f>AVERAGE(162.087,176.988,141.532,160.979,213.683)</f>
        <v>171.0538</v>
      </c>
      <c r="I66" s="12">
        <f>_xlfn.STDEV.S(162.087,176.988,141.532,160.979,213.683)</f>
        <v>26.95322427</v>
      </c>
    </row>
    <row r="67">
      <c r="A67" s="13">
        <v>2.0</v>
      </c>
      <c r="B67" s="15">
        <v>10.0</v>
      </c>
      <c r="C67" s="15">
        <v>3.0</v>
      </c>
      <c r="D67" s="14">
        <v>0.1</v>
      </c>
      <c r="E67" s="15">
        <v>100.0</v>
      </c>
      <c r="F67" s="15">
        <v>3600.0</v>
      </c>
      <c r="G67" s="16">
        <v>904.898</v>
      </c>
      <c r="H67" s="26">
        <f>AVERAGE(904.898,169.222,172.611,315.931,213.322)</f>
        <v>355.1968</v>
      </c>
      <c r="I67" s="17">
        <f> _xlfn.STDEV.S(904.898,169.222,172.611,315.931,213.322)</f>
        <v>312.956016</v>
      </c>
    </row>
    <row r="68">
      <c r="A68" s="13">
        <v>3.0</v>
      </c>
      <c r="B68" s="15">
        <v>10.0</v>
      </c>
      <c r="C68" s="15">
        <v>3.0</v>
      </c>
      <c r="D68" s="14">
        <v>0.1</v>
      </c>
      <c r="E68" s="15">
        <v>100.0</v>
      </c>
      <c r="F68" s="15">
        <v>4800.0</v>
      </c>
      <c r="G68" s="16">
        <v>1343.446</v>
      </c>
      <c r="H68" s="26">
        <f>AVERAGE(249.002,288.475,248.049,1343.446,308.049)</f>
        <v>487.4042</v>
      </c>
      <c r="I68" s="17">
        <f> _xlfn.STDEV.S(249.002,288.475,248.049,1343.446,308.049)</f>
        <v>479.2377277</v>
      </c>
    </row>
    <row r="90">
      <c r="A90" s="24" t="s">
        <v>13</v>
      </c>
      <c r="D90" s="2"/>
    </row>
    <row r="91">
      <c r="D91" s="2"/>
    </row>
    <row r="93">
      <c r="A93" s="5" t="s">
        <v>14</v>
      </c>
      <c r="B93" s="3" t="s">
        <v>3</v>
      </c>
      <c r="C93" s="4" t="s">
        <v>4</v>
      </c>
      <c r="D93" s="3" t="s">
        <v>5</v>
      </c>
      <c r="E93" s="5" t="s">
        <v>6</v>
      </c>
      <c r="F93" s="3" t="s">
        <v>7</v>
      </c>
      <c r="G93" s="6" t="s">
        <v>8</v>
      </c>
      <c r="H93" s="7" t="s">
        <v>9</v>
      </c>
      <c r="I93" s="6" t="s">
        <v>10</v>
      </c>
    </row>
    <row r="94">
      <c r="A94" s="27" t="s">
        <v>15</v>
      </c>
      <c r="B94" s="9">
        <v>10.0</v>
      </c>
      <c r="C94" s="10">
        <v>3.0</v>
      </c>
      <c r="D94" s="9">
        <v>0.1</v>
      </c>
      <c r="E94" s="10">
        <v>100.0</v>
      </c>
      <c r="F94" s="9">
        <v>2400.0</v>
      </c>
      <c r="G94" s="11">
        <v>213.683</v>
      </c>
      <c r="H94" s="25">
        <f>AVERAGE(162.087,176.988,141.532,160.979,213.683)</f>
        <v>171.0538</v>
      </c>
      <c r="I94" s="12">
        <f>_xlfn.STDEV.S(162.087,176.988,141.532,160.979,213.683)</f>
        <v>26.95322427</v>
      </c>
    </row>
    <row r="95">
      <c r="A95" s="28" t="s">
        <v>16</v>
      </c>
      <c r="B95" s="9">
        <v>10.0</v>
      </c>
      <c r="C95" s="15">
        <v>3.0</v>
      </c>
      <c r="D95" s="14">
        <v>0.1</v>
      </c>
      <c r="E95" s="15">
        <v>100.0</v>
      </c>
      <c r="F95" s="14">
        <v>2400.0</v>
      </c>
      <c r="G95" s="16">
        <v>186.351</v>
      </c>
      <c r="H95" s="26">
        <f>AVERAGE(186.351,104.999,139.121,155.023,110.381)</f>
        <v>139.175</v>
      </c>
      <c r="I95" s="17">
        <f> _xlfn.STDEV.S(186.351,104.999,139.121,155.023,110.381)</f>
        <v>33.44334914</v>
      </c>
    </row>
    <row r="96">
      <c r="A96" s="28" t="s">
        <v>17</v>
      </c>
      <c r="B96" s="9">
        <v>10.0</v>
      </c>
      <c r="C96" s="15">
        <v>3.0</v>
      </c>
      <c r="D96" s="14">
        <v>0.1</v>
      </c>
      <c r="E96" s="15">
        <v>100.0</v>
      </c>
      <c r="F96" s="14">
        <v>2400.0</v>
      </c>
      <c r="G96" s="16">
        <v>489.745</v>
      </c>
      <c r="H96" s="26">
        <f>AVERAGE(208.764,197.455,207.816,489.745,243.868)</f>
        <v>269.5296</v>
      </c>
      <c r="I96" s="17">
        <f> _xlfn.STDEV.S(208.764,197.455,207.816,489.745,243.868)</f>
        <v>124.3474112</v>
      </c>
    </row>
    <row r="97">
      <c r="A97" s="29" t="s">
        <v>18</v>
      </c>
      <c r="B97" s="9">
        <v>10.0</v>
      </c>
      <c r="C97" s="21">
        <v>3.0</v>
      </c>
      <c r="D97" s="20">
        <v>0.1</v>
      </c>
      <c r="E97" s="21">
        <v>100.0</v>
      </c>
      <c r="F97" s="20">
        <v>2400.0</v>
      </c>
      <c r="G97" s="22">
        <v>149.097</v>
      </c>
      <c r="H97" s="30">
        <f>AVERAGE(147.231,143.074,89.893,149.097,73.835)</f>
        <v>120.626</v>
      </c>
      <c r="I97" s="17">
        <f> _xlfn.STDEV.S(147.231,143.074,89.893,149.097,73.835)</f>
        <v>35.9035219</v>
      </c>
    </row>
    <row r="119">
      <c r="A119" s="24" t="s">
        <v>19</v>
      </c>
      <c r="D119" s="2"/>
    </row>
    <row r="120">
      <c r="D120" s="2"/>
    </row>
    <row r="122">
      <c r="A122" s="5" t="s">
        <v>20</v>
      </c>
      <c r="B122" s="3" t="s">
        <v>3</v>
      </c>
      <c r="C122" s="4" t="s">
        <v>4</v>
      </c>
      <c r="D122" s="3" t="s">
        <v>5</v>
      </c>
      <c r="E122" s="5" t="s">
        <v>6</v>
      </c>
      <c r="F122" s="3" t="s">
        <v>7</v>
      </c>
      <c r="G122" s="6" t="s">
        <v>8</v>
      </c>
      <c r="H122" s="7" t="s">
        <v>9</v>
      </c>
      <c r="I122" s="6" t="s">
        <v>10</v>
      </c>
    </row>
    <row r="123">
      <c r="A123" s="27" t="s">
        <v>21</v>
      </c>
      <c r="B123" s="9">
        <v>10.0</v>
      </c>
      <c r="C123" s="10">
        <v>3.0</v>
      </c>
      <c r="D123" s="9">
        <v>0.1</v>
      </c>
      <c r="E123" s="10">
        <v>100.0</v>
      </c>
      <c r="F123" s="9">
        <v>2400.0</v>
      </c>
      <c r="G123" s="11">
        <v>213.683</v>
      </c>
      <c r="H123" s="12">
        <f>AVERAGE(162.087,176.988,141.532,160.979,213.683)</f>
        <v>171.0538</v>
      </c>
      <c r="I123" s="12">
        <f>_xlfn.STDEV.S(162.087,176.988,141.532,160.979,213.683)</f>
        <v>26.95322427</v>
      </c>
    </row>
    <row r="124">
      <c r="A124" s="28" t="s">
        <v>22</v>
      </c>
      <c r="B124" s="9">
        <v>10.0</v>
      </c>
      <c r="C124" s="15">
        <v>3.0</v>
      </c>
      <c r="D124" s="14">
        <v>0.1</v>
      </c>
      <c r="E124" s="15">
        <v>100.0</v>
      </c>
      <c r="F124" s="14">
        <v>2400.0</v>
      </c>
      <c r="G124" s="16">
        <v>450.953</v>
      </c>
      <c r="H124" s="17">
        <f>AVERAGE(172.687,187.94,304.197,192.673,450.953)</f>
        <v>261.69</v>
      </c>
      <c r="I124" s="17">
        <f> _xlfn.STDEV.S(172.687,187.94,304.197,192.673,450.953)</f>
        <v>118.0585353</v>
      </c>
    </row>
    <row r="125">
      <c r="A125" s="28" t="s">
        <v>23</v>
      </c>
      <c r="B125" s="9">
        <v>10.0</v>
      </c>
      <c r="C125" s="15">
        <v>3.0</v>
      </c>
      <c r="D125" s="14">
        <v>0.1</v>
      </c>
      <c r="E125" s="15">
        <v>100.0</v>
      </c>
      <c r="F125" s="14">
        <v>2400.0</v>
      </c>
      <c r="G125" s="16">
        <v>225.828</v>
      </c>
      <c r="H125" s="17">
        <f>AVERAGE(167.591,225.828,201.083,164.019,199.757)</f>
        <v>191.6556</v>
      </c>
      <c r="I125" s="17">
        <f> _xlfn.STDEV.S(167.591,225.828,201.083,164.019,199.757)</f>
        <v>25.81253623</v>
      </c>
    </row>
  </sheetData>
  <mergeCells count="6">
    <mergeCell ref="D1:G2"/>
    <mergeCell ref="A4:C5"/>
    <mergeCell ref="A34:C35"/>
    <mergeCell ref="A62:C63"/>
    <mergeCell ref="A90:C91"/>
    <mergeCell ref="A119:C120"/>
  </mergeCells>
  <drawing r:id="rId1"/>
  <tableParts count="5">
    <tablePart r:id="rId7"/>
    <tablePart r:id="rId8"/>
    <tablePart r:id="rId9"/>
    <tablePart r:id="rId10"/>
    <tablePart r:id="rId11"/>
  </tableParts>
</worksheet>
</file>